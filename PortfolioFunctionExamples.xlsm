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Hemmingsen\Downloads\"/>
    </mc:Choice>
  </mc:AlternateContent>
  <xr:revisionPtr revIDLastSave="0" documentId="8_{DA74862F-CBE5-469E-B32C-9A2E83AC73AB}" xr6:coauthVersionLast="47" xr6:coauthVersionMax="47" xr10:uidLastSave="{00000000-0000-0000-0000-000000000000}"/>
  <bookViews>
    <workbookView xWindow="28680" yWindow="-120" windowWidth="29040" windowHeight="15840" xr2:uid="{9E3278EE-02B7-4C2B-B20A-B708503F1C57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36" i="1" l="1"/>
  <c r="J32" i="1" a="1"/>
  <c r="J26" i="1" a="1"/>
  <c r="J15" i="1" a="1"/>
  <c r="J2" i="1" a="1"/>
  <c r="J32" i="1" l="1"/>
  <c r="J26" i="1"/>
  <c r="J15" i="1"/>
  <c r="J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<sst xmlns="http://schemas.openxmlformats.org/spreadsheetml/2006/main" count="45" uniqueCount="26">
  <si>
    <t>Security 1</t>
  </si>
  <si>
    <t>Security 2</t>
  </si>
  <si>
    <t>Security 3</t>
  </si>
  <si>
    <t>Security 4</t>
  </si>
  <si>
    <t>Security 5</t>
  </si>
  <si>
    <t>Security 6</t>
  </si>
  <si>
    <t>Security 7</t>
  </si>
  <si>
    <t>Portfolio 1 ID</t>
  </si>
  <si>
    <t>Portfolio 1 Weight</t>
  </si>
  <si>
    <t>Portfolio 2 Weight</t>
  </si>
  <si>
    <t>Portfolio 2 ID</t>
  </si>
  <si>
    <t>Security 8</t>
  </si>
  <si>
    <t>Security 9</t>
  </si>
  <si>
    <t>Security 10</t>
  </si>
  <si>
    <t>Overlap Between the two portfolios</t>
  </si>
  <si>
    <t>Portfolio Volatility</t>
  </si>
  <si>
    <t>Asset</t>
  </si>
  <si>
    <t>Weight</t>
  </si>
  <si>
    <t>Volatility</t>
  </si>
  <si>
    <t>Correlation Matrix</t>
  </si>
  <si>
    <t>Correlation of the two portfolios</t>
  </si>
  <si>
    <t>Risk Decomposition</t>
  </si>
  <si>
    <t>Asset 1</t>
  </si>
  <si>
    <t>Asset 2</t>
  </si>
  <si>
    <t>Asset 3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</si>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</sst>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9" fontId="0" fillId="0" borderId="0" xfId="0" applyNumberFormat="1"/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FDB9B-B30E-4F99-8772-F1FE3116F382}">
  <sheetPr codeName="Sheet1"/>
  <dimension ref="A1:J36"/>
  <sheetViews>
    <sheetView tabSelected="1" workbookViewId="0">
      <selection activeCell="F7" sqref="F7"/>
    </sheetView>
  </sheetViews>
  <sheetFormatPr defaultRowHeight="14.4" x14ac:dyDescent="0.3"/>
  <cols>
    <col min="1" max="1" width="12.21875" bestFit="1" customWidth="1"/>
    <col min="2" max="3" width="16.88671875" bestFit="1" customWidth="1"/>
    <col min="4" max="4" width="10" bestFit="1" customWidth="1"/>
    <col min="10" max="10" width="32.6640625" bestFit="1" customWidth="1"/>
  </cols>
  <sheetData>
    <row r="1" spans="1:10" x14ac:dyDescent="0.3">
      <c r="A1" t="s">
        <v>7</v>
      </c>
      <c r="B1" t="s">
        <v>8</v>
      </c>
      <c r="C1" t="s">
        <v>10</v>
      </c>
      <c r="D1" t="s">
        <v>9</v>
      </c>
      <c r="J1" t="s">
        <v>14</v>
      </c>
    </row>
    <row r="2" spans="1:10" x14ac:dyDescent="0.3">
      <c r="A2" t="s">
        <v>0</v>
      </c>
      <c r="B2" s="1">
        <v>0.1</v>
      </c>
      <c r="C2" t="s">
        <v>0</v>
      </c>
      <c r="D2" s="1">
        <v>0.2</v>
      </c>
      <c r="J2" s="2" cm="1">
        <f t="array" ref="J2">OVERLAP_CALC(A2:B11,C2:D11)</f>
        <v>0.75</v>
      </c>
    </row>
    <row r="3" spans="1:10" x14ac:dyDescent="0.3">
      <c r="A3" t="s">
        <v>1</v>
      </c>
      <c r="B3" s="1">
        <v>0.1</v>
      </c>
      <c r="C3" t="s">
        <v>1</v>
      </c>
      <c r="D3" s="1">
        <v>0.2</v>
      </c>
    </row>
    <row r="4" spans="1:10" x14ac:dyDescent="0.3">
      <c r="A4" t="s">
        <v>2</v>
      </c>
      <c r="B4" s="1">
        <v>0.1</v>
      </c>
      <c r="C4" t="s">
        <v>2</v>
      </c>
      <c r="D4" s="1">
        <v>0.2</v>
      </c>
    </row>
    <row r="5" spans="1:10" x14ac:dyDescent="0.3">
      <c r="A5" t="s">
        <v>3</v>
      </c>
      <c r="B5" s="1">
        <v>0.1</v>
      </c>
      <c r="C5" t="s">
        <v>3</v>
      </c>
      <c r="D5" s="1">
        <v>0.2</v>
      </c>
    </row>
    <row r="6" spans="1:10" x14ac:dyDescent="0.3">
      <c r="A6" t="s">
        <v>4</v>
      </c>
      <c r="B6" s="1">
        <v>0.1</v>
      </c>
      <c r="C6" t="s">
        <v>4</v>
      </c>
      <c r="D6" s="1">
        <v>0.2</v>
      </c>
    </row>
    <row r="7" spans="1:10" x14ac:dyDescent="0.3">
      <c r="A7" t="s">
        <v>5</v>
      </c>
      <c r="B7" s="1">
        <v>0.1</v>
      </c>
      <c r="C7" t="s">
        <v>5</v>
      </c>
      <c r="D7" s="1">
        <v>0</v>
      </c>
    </row>
    <row r="8" spans="1:10" x14ac:dyDescent="0.3">
      <c r="A8" t="s">
        <v>6</v>
      </c>
      <c r="B8" s="1">
        <v>0.1</v>
      </c>
      <c r="C8" t="s">
        <v>6</v>
      </c>
      <c r="D8" s="1">
        <v>0</v>
      </c>
    </row>
    <row r="9" spans="1:10" x14ac:dyDescent="0.3">
      <c r="A9" t="s">
        <v>11</v>
      </c>
      <c r="B9" s="1">
        <v>0.1</v>
      </c>
      <c r="C9" t="s">
        <v>11</v>
      </c>
      <c r="D9" s="1">
        <v>0</v>
      </c>
    </row>
    <row r="10" spans="1:10" x14ac:dyDescent="0.3">
      <c r="A10" t="s">
        <v>12</v>
      </c>
      <c r="B10" s="1">
        <v>0.1</v>
      </c>
      <c r="C10" t="s">
        <v>12</v>
      </c>
      <c r="D10" s="1">
        <v>0</v>
      </c>
    </row>
    <row r="11" spans="1:10" x14ac:dyDescent="0.3">
      <c r="A11" t="s">
        <v>13</v>
      </c>
      <c r="B11" s="1">
        <v>0.1</v>
      </c>
      <c r="C11" t="s">
        <v>13</v>
      </c>
      <c r="D11" s="1">
        <v>0</v>
      </c>
    </row>
    <row r="14" spans="1:10" x14ac:dyDescent="0.3">
      <c r="J14" t="s">
        <v>15</v>
      </c>
    </row>
    <row r="15" spans="1:10" x14ac:dyDescent="0.3">
      <c r="A15" t="s">
        <v>16</v>
      </c>
      <c r="B15" t="s">
        <v>17</v>
      </c>
      <c r="C15" t="s">
        <v>18</v>
      </c>
      <c r="D15" t="s">
        <v>19</v>
      </c>
      <c r="J15" s="2" cm="1">
        <f t="array" ref="J15">Portfolio_Volatility(B16:B18,C16:C18,D16:F18)</f>
        <v>9.9477384364487609E-2</v>
      </c>
    </row>
    <row r="16" spans="1:10" x14ac:dyDescent="0.3">
      <c r="A16">
        <v>1</v>
      </c>
      <c r="B16" s="1">
        <v>0.34</v>
      </c>
      <c r="C16" s="1">
        <v>0.2</v>
      </c>
      <c r="D16">
        <v>1</v>
      </c>
      <c r="E16">
        <v>0.5</v>
      </c>
      <c r="F16">
        <v>0.5</v>
      </c>
    </row>
    <row r="17" spans="1:10" x14ac:dyDescent="0.3">
      <c r="A17">
        <v>2</v>
      </c>
      <c r="B17" s="1">
        <v>0.33</v>
      </c>
      <c r="C17" s="1">
        <v>0.1</v>
      </c>
      <c r="D17">
        <v>0.5</v>
      </c>
      <c r="E17">
        <v>1</v>
      </c>
      <c r="F17">
        <v>0.5</v>
      </c>
    </row>
    <row r="18" spans="1:10" x14ac:dyDescent="0.3">
      <c r="A18">
        <v>3</v>
      </c>
      <c r="B18" s="1">
        <v>0.33</v>
      </c>
      <c r="C18" s="1">
        <v>0.05</v>
      </c>
      <c r="D18">
        <v>0.5</v>
      </c>
      <c r="E18">
        <v>0.5</v>
      </c>
      <c r="F18">
        <v>1</v>
      </c>
    </row>
    <row r="25" spans="1:10" x14ac:dyDescent="0.3">
      <c r="A25" t="s">
        <v>16</v>
      </c>
      <c r="B25" t="s">
        <v>8</v>
      </c>
      <c r="C25" t="s">
        <v>9</v>
      </c>
      <c r="D25" t="s">
        <v>18</v>
      </c>
      <c r="E25" t="s">
        <v>19</v>
      </c>
      <c r="J25" t="s">
        <v>20</v>
      </c>
    </row>
    <row r="26" spans="1:10" x14ac:dyDescent="0.3">
      <c r="A26">
        <v>1</v>
      </c>
      <c r="B26" s="1">
        <v>0.34</v>
      </c>
      <c r="C26">
        <v>0</v>
      </c>
      <c r="D26" s="1">
        <v>0.2</v>
      </c>
      <c r="E26">
        <v>1</v>
      </c>
      <c r="F26">
        <v>0.5</v>
      </c>
      <c r="G26">
        <v>0.5</v>
      </c>
      <c r="J26" s="2" cm="1">
        <f t="array" ref="J26">CorrelationofTwoPortfolios(B26:B28,C26:C28,D26:D28,E26:G28)</f>
        <v>0.7564533434482168</v>
      </c>
    </row>
    <row r="27" spans="1:10" x14ac:dyDescent="0.3">
      <c r="A27">
        <v>2</v>
      </c>
      <c r="B27" s="1">
        <v>0.33</v>
      </c>
      <c r="C27" s="1">
        <v>1</v>
      </c>
      <c r="D27" s="1">
        <v>0.1</v>
      </c>
      <c r="E27">
        <v>0.5</v>
      </c>
      <c r="F27">
        <v>1</v>
      </c>
      <c r="G27">
        <v>0.5</v>
      </c>
    </row>
    <row r="28" spans="1:10" x14ac:dyDescent="0.3">
      <c r="A28">
        <v>3</v>
      </c>
      <c r="B28" s="1">
        <v>0.33</v>
      </c>
      <c r="C28">
        <v>0</v>
      </c>
      <c r="D28" s="1">
        <v>0.05</v>
      </c>
      <c r="E28">
        <v>0.5</v>
      </c>
      <c r="F28">
        <v>0.5</v>
      </c>
      <c r="G28">
        <v>1</v>
      </c>
    </row>
    <row r="31" spans="1:10" x14ac:dyDescent="0.3">
      <c r="J31" t="s">
        <v>21</v>
      </c>
    </row>
    <row r="32" spans="1:10" x14ac:dyDescent="0.3">
      <c r="A32" t="s">
        <v>16</v>
      </c>
      <c r="B32" t="s">
        <v>17</v>
      </c>
      <c r="C32" t="s">
        <v>18</v>
      </c>
      <c r="D32" t="s">
        <v>19</v>
      </c>
      <c r="I32" t="s">
        <v>22</v>
      </c>
      <c r="J32" s="2" cm="1">
        <f t="array" ref="J32:J34">RiskDecomp(C33:C35,D33:F35,B33:B35)</f>
        <v>6.3401345343892412E-2</v>
      </c>
    </row>
    <row r="33" spans="1:10" x14ac:dyDescent="0.3">
      <c r="A33">
        <v>1</v>
      </c>
      <c r="B33" s="1">
        <v>0.34</v>
      </c>
      <c r="C33" s="1">
        <v>0.2</v>
      </c>
      <c r="D33">
        <v>1</v>
      </c>
      <c r="E33">
        <v>0.5</v>
      </c>
      <c r="F33">
        <v>0.5</v>
      </c>
      <c r="I33" t="s">
        <v>23</v>
      </c>
      <c r="J33" s="2">
        <v>2.4962960333791154E-2</v>
      </c>
    </row>
    <row r="34" spans="1:10" x14ac:dyDescent="0.3">
      <c r="A34">
        <v>2</v>
      </c>
      <c r="B34" s="1">
        <v>0.33</v>
      </c>
      <c r="C34" s="1">
        <v>0.1</v>
      </c>
      <c r="D34">
        <v>0.5</v>
      </c>
      <c r="E34">
        <v>1</v>
      </c>
      <c r="F34">
        <v>0.5</v>
      </c>
      <c r="I34" t="s">
        <v>24</v>
      </c>
      <c r="J34" s="2">
        <v>1.1113078686804037E-2</v>
      </c>
    </row>
    <row r="35" spans="1:10" x14ac:dyDescent="0.3">
      <c r="A35">
        <v>3</v>
      </c>
      <c r="B35" s="1">
        <v>0.33</v>
      </c>
      <c r="C35" s="1">
        <v>0.05</v>
      </c>
      <c r="D35">
        <v>0.5</v>
      </c>
      <c r="E35">
        <v>0.5</v>
      </c>
      <c r="F35">
        <v>1</v>
      </c>
    </row>
    <row r="36" spans="1:10" x14ac:dyDescent="0.3">
      <c r="I36" t="s">
        <v>25</v>
      </c>
      <c r="J36" s="2">
        <f>SUM(_xlfn.ANCHORARRAY(J32))</f>
        <v>9.9477384364487609E-2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 Hemmingsen</dc:creator>
  <cp:lastModifiedBy>Al Hemmingsen</cp:lastModifiedBy>
  <dcterms:created xsi:type="dcterms:W3CDTF">2022-06-29T14:34:19Z</dcterms:created>
  <dcterms:modified xsi:type="dcterms:W3CDTF">2022-06-29T14:47:20Z</dcterms:modified>
</cp:coreProperties>
</file>