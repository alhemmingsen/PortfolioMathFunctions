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mmingsen\Downloads\"/>
    </mc:Choice>
  </mc:AlternateContent>
  <xr:revisionPtr revIDLastSave="0" documentId="13_ncr:1_{BFF03D22-1F1D-436B-80A4-A0679C4D6135}" xr6:coauthVersionLast="47" xr6:coauthVersionMax="47" xr10:uidLastSave="{00000000-0000-0000-0000-000000000000}"/>
  <bookViews>
    <workbookView xWindow="57492" yWindow="-108" windowWidth="29016" windowHeight="15816" xr2:uid="{9E3278EE-02B7-4C2B-B20A-B708503F1C5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7" i="1" l="1" a="1"/>
  <c r="B52" i="1" a="1"/>
  <c r="J26" i="1" a="1"/>
  <c r="J15" i="1" a="1"/>
  <c r="J32" i="1" a="1"/>
  <c r="J2" i="1" a="1"/>
  <c r="B51" i="1" a="1"/>
  <c r="B51" i="1" l="1"/>
  <c r="J2" i="1"/>
  <c r="J32" i="1"/>
  <c r="J36" i="1" s="1"/>
  <c r="J15" i="1"/>
  <c r="J26" i="1"/>
  <c r="B52" i="1"/>
  <c r="I57" i="1"/>
  <c r="H59" i="1"/>
  <c r="I59" i="1"/>
  <c r="J59" i="1"/>
  <c r="H57" i="1"/>
  <c r="J57" i="1"/>
  <c r="H58" i="1"/>
  <c r="I58" i="1"/>
  <c r="J58" i="1"/>
  <c r="H63" i="1" a="1"/>
  <c r="H63" i="1" l="1"/>
  <c r="J63" i="1"/>
  <c r="I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<sst xmlns="http://schemas.openxmlformats.org/spreadsheetml/2006/main" count="60" uniqueCount="38">
  <si>
    <t>Security 1</t>
  </si>
  <si>
    <t>Security 2</t>
  </si>
  <si>
    <t>Security 3</t>
  </si>
  <si>
    <t>Security 4</t>
  </si>
  <si>
    <t>Security 5</t>
  </si>
  <si>
    <t>Security 6</t>
  </si>
  <si>
    <t>Security 7</t>
  </si>
  <si>
    <t>Portfolio 1 ID</t>
  </si>
  <si>
    <t>Portfolio 1 Weight</t>
  </si>
  <si>
    <t>Portfolio 2 Weight</t>
  </si>
  <si>
    <t>Portfolio 2 ID</t>
  </si>
  <si>
    <t>Security 8</t>
  </si>
  <si>
    <t>Security 9</t>
  </si>
  <si>
    <t>Security 10</t>
  </si>
  <si>
    <t>Overlap Between the two portfolios</t>
  </si>
  <si>
    <t>Portfolio Volatility</t>
  </si>
  <si>
    <t>Asset</t>
  </si>
  <si>
    <t>Weight</t>
  </si>
  <si>
    <t>Volatility</t>
  </si>
  <si>
    <t>Correlation Matrix</t>
  </si>
  <si>
    <t>Correlation of the two portfolios</t>
  </si>
  <si>
    <t>Risk Decomposition</t>
  </si>
  <si>
    <t>Asset 1</t>
  </si>
  <si>
    <t>Asset 2</t>
  </si>
  <si>
    <t>Asset 3</t>
  </si>
  <si>
    <t>Total</t>
  </si>
  <si>
    <t>Black Scholes Call</t>
  </si>
  <si>
    <t>Black Scholes Put</t>
  </si>
  <si>
    <t>Security Price</t>
  </si>
  <si>
    <t>Exercise Price</t>
  </si>
  <si>
    <t>Time to Expiration in years</t>
  </si>
  <si>
    <t>Risk Free Rate</t>
  </si>
  <si>
    <t>Month</t>
  </si>
  <si>
    <t>Asset 1 return</t>
  </si>
  <si>
    <t xml:space="preserve">asset 2 return </t>
  </si>
  <si>
    <t>asset 3 return</t>
  </si>
  <si>
    <t>CorrelMatrix</t>
  </si>
  <si>
    <t>CorandMatrix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</si>
</sst>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9" fontId="0" fillId="0" borderId="0" xfId="0" applyNumberFormat="1"/>
    <xf numFmtId="10" fontId="0" fillId="0" borderId="0" xfId="0" applyNumberFormat="1"/>
    <xf numFmtId="0" fontId="2" fillId="0" borderId="0" xfId="0" applyFont="1" applyAlignment="1">
      <alignment horizontal="center" vertical="center" wrapText="1"/>
    </xf>
    <xf numFmtId="17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DB9B-B30E-4F99-8772-F1FE3116F382}">
  <sheetPr codeName="Sheet1"/>
  <dimension ref="A1:J114"/>
  <sheetViews>
    <sheetView tabSelected="1" topLeftCell="A31" workbookViewId="0">
      <selection activeCell="R39" sqref="R39"/>
    </sheetView>
  </sheetViews>
  <sheetFormatPr defaultRowHeight="14.4" x14ac:dyDescent="0.3"/>
  <cols>
    <col min="1" max="1" width="12.21875" bestFit="1" customWidth="1"/>
    <col min="2" max="3" width="16.88671875" bestFit="1" customWidth="1"/>
    <col min="4" max="4" width="10" bestFit="1" customWidth="1"/>
    <col min="10" max="10" width="32.6640625" bestFit="1" customWidth="1"/>
  </cols>
  <sheetData>
    <row r="1" spans="1:10" x14ac:dyDescent="0.3">
      <c r="A1" t="s">
        <v>7</v>
      </c>
      <c r="B1" t="s">
        <v>8</v>
      </c>
      <c r="C1" t="s">
        <v>10</v>
      </c>
      <c r="D1" t="s">
        <v>9</v>
      </c>
      <c r="J1" t="s">
        <v>14</v>
      </c>
    </row>
    <row r="2" spans="1:10" x14ac:dyDescent="0.3">
      <c r="A2" t="s">
        <v>0</v>
      </c>
      <c r="B2" s="1">
        <v>0.1</v>
      </c>
      <c r="C2" t="s">
        <v>0</v>
      </c>
      <c r="D2" s="1">
        <v>0.2</v>
      </c>
      <c r="J2" s="2" cm="1">
        <f t="array" ref="J2">OVERLAP_CALC(A2:B11,C2:D11)</f>
        <v>0.75</v>
      </c>
    </row>
    <row r="3" spans="1:10" x14ac:dyDescent="0.3">
      <c r="A3" t="s">
        <v>1</v>
      </c>
      <c r="B3" s="1">
        <v>0.1</v>
      </c>
      <c r="C3" t="s">
        <v>1</v>
      </c>
      <c r="D3" s="1">
        <v>0.2</v>
      </c>
    </row>
    <row r="4" spans="1:10" x14ac:dyDescent="0.3">
      <c r="A4" t="s">
        <v>2</v>
      </c>
      <c r="B4" s="1">
        <v>0.1</v>
      </c>
      <c r="C4" t="s">
        <v>2</v>
      </c>
      <c r="D4" s="1">
        <v>0.2</v>
      </c>
    </row>
    <row r="5" spans="1:10" x14ac:dyDescent="0.3">
      <c r="A5" t="s">
        <v>3</v>
      </c>
      <c r="B5" s="1">
        <v>0.1</v>
      </c>
      <c r="C5" t="s">
        <v>3</v>
      </c>
      <c r="D5" s="1">
        <v>0.2</v>
      </c>
    </row>
    <row r="6" spans="1:10" x14ac:dyDescent="0.3">
      <c r="A6" t="s">
        <v>4</v>
      </c>
      <c r="B6" s="1">
        <v>0.1</v>
      </c>
      <c r="C6" t="s">
        <v>4</v>
      </c>
      <c r="D6" s="1">
        <v>0.2</v>
      </c>
    </row>
    <row r="7" spans="1:10" x14ac:dyDescent="0.3">
      <c r="A7" t="s">
        <v>5</v>
      </c>
      <c r="B7" s="1">
        <v>0.1</v>
      </c>
      <c r="C7" t="s">
        <v>5</v>
      </c>
      <c r="D7" s="1">
        <v>0</v>
      </c>
    </row>
    <row r="8" spans="1:10" x14ac:dyDescent="0.3">
      <c r="A8" t="s">
        <v>6</v>
      </c>
      <c r="B8" s="1">
        <v>0.1</v>
      </c>
      <c r="C8" t="s">
        <v>6</v>
      </c>
      <c r="D8" s="1">
        <v>0</v>
      </c>
    </row>
    <row r="9" spans="1:10" x14ac:dyDescent="0.3">
      <c r="A9" t="s">
        <v>11</v>
      </c>
      <c r="B9" s="1">
        <v>0.1</v>
      </c>
      <c r="C9" t="s">
        <v>11</v>
      </c>
      <c r="D9" s="1">
        <v>0</v>
      </c>
    </row>
    <row r="10" spans="1:10" x14ac:dyDescent="0.3">
      <c r="A10" t="s">
        <v>12</v>
      </c>
      <c r="B10" s="1">
        <v>0.1</v>
      </c>
      <c r="C10" t="s">
        <v>12</v>
      </c>
      <c r="D10" s="1">
        <v>0</v>
      </c>
    </row>
    <row r="11" spans="1:10" x14ac:dyDescent="0.3">
      <c r="A11" t="s">
        <v>13</v>
      </c>
      <c r="B11" s="1">
        <v>0.1</v>
      </c>
      <c r="C11" t="s">
        <v>13</v>
      </c>
      <c r="D11" s="1">
        <v>0</v>
      </c>
    </row>
    <row r="14" spans="1:10" x14ac:dyDescent="0.3">
      <c r="J14" t="s">
        <v>15</v>
      </c>
    </row>
    <row r="15" spans="1:10" x14ac:dyDescent="0.3">
      <c r="A15" t="s">
        <v>16</v>
      </c>
      <c r="B15" t="s">
        <v>17</v>
      </c>
      <c r="C15" t="s">
        <v>18</v>
      </c>
      <c r="D15" t="s">
        <v>19</v>
      </c>
      <c r="J15" s="2" cm="1">
        <f t="array" ref="J15">Portfolio_Volatility(B16:B18,C16:C18,D16:F18)</f>
        <v>9.9477384364487609E-2</v>
      </c>
    </row>
    <row r="16" spans="1:10" x14ac:dyDescent="0.3">
      <c r="A16">
        <v>1</v>
      </c>
      <c r="B16" s="1">
        <v>0.34</v>
      </c>
      <c r="C16" s="1">
        <v>0.2</v>
      </c>
      <c r="D16">
        <v>1</v>
      </c>
      <c r="E16">
        <v>0.5</v>
      </c>
      <c r="F16">
        <v>0.5</v>
      </c>
    </row>
    <row r="17" spans="1:10" x14ac:dyDescent="0.3">
      <c r="A17">
        <v>2</v>
      </c>
      <c r="B17" s="1">
        <v>0.33</v>
      </c>
      <c r="C17" s="1">
        <v>0.1</v>
      </c>
      <c r="D17">
        <v>0.5</v>
      </c>
      <c r="E17">
        <v>1</v>
      </c>
      <c r="F17">
        <v>0.5</v>
      </c>
    </row>
    <row r="18" spans="1:10" x14ac:dyDescent="0.3">
      <c r="A18">
        <v>3</v>
      </c>
      <c r="B18" s="1">
        <v>0.33</v>
      </c>
      <c r="C18" s="1">
        <v>0.05</v>
      </c>
      <c r="D18">
        <v>0.5</v>
      </c>
      <c r="E18">
        <v>0.5</v>
      </c>
      <c r="F18">
        <v>1</v>
      </c>
    </row>
    <row r="25" spans="1:10" x14ac:dyDescent="0.3">
      <c r="A25" t="s">
        <v>16</v>
      </c>
      <c r="B25" t="s">
        <v>8</v>
      </c>
      <c r="C25" t="s">
        <v>9</v>
      </c>
      <c r="D25" t="s">
        <v>18</v>
      </c>
      <c r="E25" t="s">
        <v>19</v>
      </c>
      <c r="J25" t="s">
        <v>20</v>
      </c>
    </row>
    <row r="26" spans="1:10" x14ac:dyDescent="0.3">
      <c r="A26">
        <v>1</v>
      </c>
      <c r="B26" s="1">
        <v>0.34</v>
      </c>
      <c r="C26">
        <v>0</v>
      </c>
      <c r="D26" s="1">
        <v>0.2</v>
      </c>
      <c r="E26">
        <v>1</v>
      </c>
      <c r="F26">
        <v>0.5</v>
      </c>
      <c r="G26">
        <v>0.5</v>
      </c>
      <c r="J26" s="2" cm="1">
        <f t="array" ref="J26">CorrelationofTwoPortfolios(B26:B28,C26:C28,D26:D28,E26:G28)</f>
        <v>0.7564533434482168</v>
      </c>
    </row>
    <row r="27" spans="1:10" x14ac:dyDescent="0.3">
      <c r="A27">
        <v>2</v>
      </c>
      <c r="B27" s="1">
        <v>0.33</v>
      </c>
      <c r="C27" s="1">
        <v>1</v>
      </c>
      <c r="D27" s="1">
        <v>0.1</v>
      </c>
      <c r="E27">
        <v>0.5</v>
      </c>
      <c r="F27">
        <v>1</v>
      </c>
      <c r="G27">
        <v>0.5</v>
      </c>
    </row>
    <row r="28" spans="1:10" x14ac:dyDescent="0.3">
      <c r="A28">
        <v>3</v>
      </c>
      <c r="B28" s="1">
        <v>0.33</v>
      </c>
      <c r="C28">
        <v>0</v>
      </c>
      <c r="D28" s="1">
        <v>0.05</v>
      </c>
      <c r="E28">
        <v>0.5</v>
      </c>
      <c r="F28">
        <v>0.5</v>
      </c>
      <c r="G28">
        <v>1</v>
      </c>
    </row>
    <row r="31" spans="1:10" x14ac:dyDescent="0.3">
      <c r="J31" t="s">
        <v>21</v>
      </c>
    </row>
    <row r="32" spans="1:10" x14ac:dyDescent="0.3">
      <c r="A32" t="s">
        <v>16</v>
      </c>
      <c r="B32" t="s">
        <v>17</v>
      </c>
      <c r="C32" t="s">
        <v>18</v>
      </c>
      <c r="D32" t="s">
        <v>19</v>
      </c>
      <c r="I32" t="s">
        <v>22</v>
      </c>
      <c r="J32" s="2" cm="1">
        <f t="array" ref="J32:J34">RiskDecomp(C33:C35,D33:F35,B33:B35)</f>
        <v>6.3401345343892412E-2</v>
      </c>
    </row>
    <row r="33" spans="1:10" x14ac:dyDescent="0.3">
      <c r="A33">
        <v>1</v>
      </c>
      <c r="B33" s="1">
        <v>0.34</v>
      </c>
      <c r="C33" s="1">
        <v>0.2</v>
      </c>
      <c r="D33">
        <v>1</v>
      </c>
      <c r="E33">
        <v>0.5</v>
      </c>
      <c r="F33">
        <v>0.5</v>
      </c>
      <c r="I33" t="s">
        <v>23</v>
      </c>
      <c r="J33" s="2">
        <v>2.4962960333791154E-2</v>
      </c>
    </row>
    <row r="34" spans="1:10" x14ac:dyDescent="0.3">
      <c r="A34">
        <v>2</v>
      </c>
      <c r="B34" s="1">
        <v>0.33</v>
      </c>
      <c r="C34" s="1">
        <v>0.1</v>
      </c>
      <c r="D34">
        <v>0.5</v>
      </c>
      <c r="E34">
        <v>1</v>
      </c>
      <c r="F34">
        <v>0.5</v>
      </c>
      <c r="I34" t="s">
        <v>24</v>
      </c>
      <c r="J34" s="2">
        <v>1.1113078686804037E-2</v>
      </c>
    </row>
    <row r="35" spans="1:10" x14ac:dyDescent="0.3">
      <c r="A35">
        <v>3</v>
      </c>
      <c r="B35" s="1">
        <v>0.33</v>
      </c>
      <c r="C35" s="1">
        <v>0.05</v>
      </c>
      <c r="D35">
        <v>0.5</v>
      </c>
      <c r="E35">
        <v>0.5</v>
      </c>
      <c r="F35">
        <v>1</v>
      </c>
    </row>
    <row r="36" spans="1:10" x14ac:dyDescent="0.3">
      <c r="I36" t="s">
        <v>25</v>
      </c>
      <c r="J36" s="2">
        <f>SUM(_xlfn.ANCHORARRAY(J32))</f>
        <v>9.9477384364487609E-2</v>
      </c>
    </row>
    <row r="41" spans="1:10" x14ac:dyDescent="0.3">
      <c r="A41" t="s">
        <v>26</v>
      </c>
    </row>
    <row r="42" spans="1:10" x14ac:dyDescent="0.3">
      <c r="A42" t="s">
        <v>27</v>
      </c>
    </row>
    <row r="45" spans="1:10" x14ac:dyDescent="0.3">
      <c r="A45" t="s">
        <v>28</v>
      </c>
      <c r="B45">
        <v>10</v>
      </c>
    </row>
    <row r="46" spans="1:10" x14ac:dyDescent="0.3">
      <c r="A46" t="s">
        <v>29</v>
      </c>
      <c r="B46">
        <v>5</v>
      </c>
    </row>
    <row r="47" spans="1:10" x14ac:dyDescent="0.3">
      <c r="A47" t="s">
        <v>30</v>
      </c>
      <c r="B47">
        <v>2</v>
      </c>
    </row>
    <row r="48" spans="1:10" x14ac:dyDescent="0.3">
      <c r="A48" t="s">
        <v>31</v>
      </c>
      <c r="B48" s="1">
        <v>0.05</v>
      </c>
    </row>
    <row r="49" spans="1:10" x14ac:dyDescent="0.3">
      <c r="A49" t="s">
        <v>18</v>
      </c>
      <c r="B49" s="1">
        <v>0.5</v>
      </c>
    </row>
    <row r="51" spans="1:10" x14ac:dyDescent="0.3">
      <c r="A51" t="s">
        <v>26</v>
      </c>
      <c r="B51" cm="1">
        <f t="array" ref="B51">BlackScholesCall(B45,B46,B47,B48,B49)</f>
        <v>5.7758404232824621</v>
      </c>
    </row>
    <row r="52" spans="1:10" x14ac:dyDescent="0.3">
      <c r="A52" t="s">
        <v>27</v>
      </c>
      <c r="B52" cm="1">
        <f t="array" ref="B52">BlackScholesPut(B45,B46,B47,B48,B49)</f>
        <v>0.30002751346225942</v>
      </c>
    </row>
    <row r="56" spans="1:10" ht="28.8" x14ac:dyDescent="0.3">
      <c r="B56" s="3" t="s">
        <v>32</v>
      </c>
      <c r="C56" s="3" t="s">
        <v>33</v>
      </c>
      <c r="D56" s="3" t="s">
        <v>34</v>
      </c>
      <c r="E56" s="3" t="s">
        <v>35</v>
      </c>
      <c r="H56" s="3" t="s">
        <v>36</v>
      </c>
    </row>
    <row r="57" spans="1:10" x14ac:dyDescent="0.3">
      <c r="B57" s="4">
        <v>43101</v>
      </c>
      <c r="C57" s="5">
        <v>5.62</v>
      </c>
      <c r="D57" s="5">
        <v>5.0199999999999996</v>
      </c>
      <c r="E57" s="5">
        <v>8.33</v>
      </c>
      <c r="H57">
        <f t="array" ref="H57:J59">CORRELMATRIX(C57:E114)</f>
        <v>1</v>
      </c>
      <c r="I57">
        <v>0.91552701312002871</v>
      </c>
      <c r="J57">
        <v>0.73649735033776254</v>
      </c>
    </row>
    <row r="58" spans="1:10" x14ac:dyDescent="0.3">
      <c r="B58" s="4">
        <v>43132</v>
      </c>
      <c r="C58" s="5">
        <v>-3.69</v>
      </c>
      <c r="D58" s="5">
        <v>-4.51</v>
      </c>
      <c r="E58" s="5">
        <v>-4.6100000000000003</v>
      </c>
      <c r="H58">
        <v>0.91552701312002871</v>
      </c>
      <c r="I58">
        <v>1</v>
      </c>
      <c r="J58">
        <v>0.81319271753978595</v>
      </c>
    </row>
    <row r="59" spans="1:10" x14ac:dyDescent="0.3">
      <c r="B59" s="4">
        <v>43160</v>
      </c>
      <c r="C59" s="5">
        <v>-2.54</v>
      </c>
      <c r="D59" s="5">
        <v>-1.8</v>
      </c>
      <c r="E59" s="5">
        <v>-1.86</v>
      </c>
      <c r="H59">
        <v>0.73649735033776254</v>
      </c>
      <c r="I59">
        <v>0.81319271753978595</v>
      </c>
      <c r="J59">
        <v>1</v>
      </c>
    </row>
    <row r="60" spans="1:10" x14ac:dyDescent="0.3">
      <c r="B60" s="4">
        <v>43191</v>
      </c>
      <c r="C60" s="5">
        <v>0.38</v>
      </c>
      <c r="D60" s="5">
        <v>2.46</v>
      </c>
      <c r="E60" s="5">
        <v>-0.44</v>
      </c>
      <c r="H60" s="1"/>
    </row>
    <row r="61" spans="1:10" x14ac:dyDescent="0.3">
      <c r="B61" s="4">
        <v>43221</v>
      </c>
      <c r="C61" s="5">
        <v>2.41</v>
      </c>
      <c r="D61" s="5">
        <v>-1.96</v>
      </c>
      <c r="E61" s="5">
        <v>-3.54</v>
      </c>
      <c r="H61" s="1"/>
    </row>
    <row r="62" spans="1:10" x14ac:dyDescent="0.3">
      <c r="B62" s="4">
        <v>43252</v>
      </c>
      <c r="C62" s="5">
        <v>0.62</v>
      </c>
      <c r="D62" s="5">
        <v>-1.22</v>
      </c>
      <c r="E62" s="5">
        <v>-4.09</v>
      </c>
      <c r="H62" s="1" t="s">
        <v>37</v>
      </c>
    </row>
    <row r="63" spans="1:10" x14ac:dyDescent="0.3">
      <c r="B63" s="4">
        <v>43282</v>
      </c>
      <c r="C63" s="5">
        <v>3.72</v>
      </c>
      <c r="D63" s="5">
        <v>2.46</v>
      </c>
      <c r="E63" s="5">
        <v>2.2000000000000002</v>
      </c>
      <c r="H63" s="6">
        <f t="array" aca="1" ref="H63:J63" ca="1">CORANDMATRIX(H57:J59)</f>
        <v>0.26703479886054993</v>
      </c>
      <c r="I63" s="6">
        <f ca="1"/>
        <v>0.19955933094024658</v>
      </c>
      <c r="J63" s="6">
        <f ca="1"/>
        <v>0.27934205532073975</v>
      </c>
    </row>
    <row r="64" spans="1:10" x14ac:dyDescent="0.3">
      <c r="B64" s="4">
        <v>43313</v>
      </c>
      <c r="C64" s="5">
        <v>3.26</v>
      </c>
      <c r="D64" s="5">
        <v>-1.93</v>
      </c>
      <c r="E64" s="5">
        <v>-2.7</v>
      </c>
      <c r="H64" s="1"/>
    </row>
    <row r="65" spans="2:5" x14ac:dyDescent="0.3">
      <c r="B65" s="4">
        <v>43344</v>
      </c>
      <c r="C65" s="5">
        <v>0.56999999999999995</v>
      </c>
      <c r="D65" s="5">
        <v>0.87</v>
      </c>
      <c r="E65" s="5">
        <v>0.53</v>
      </c>
    </row>
    <row r="66" spans="2:5" x14ac:dyDescent="0.3">
      <c r="B66" s="4">
        <v>43374</v>
      </c>
      <c r="C66" s="5">
        <v>-6.84</v>
      </c>
      <c r="D66" s="5">
        <v>-7.96</v>
      </c>
      <c r="E66" s="5">
        <v>-8.7100000000000009</v>
      </c>
    </row>
    <row r="67" spans="2:5" x14ac:dyDescent="0.3">
      <c r="B67" s="4">
        <v>43405</v>
      </c>
      <c r="C67" s="5">
        <v>2.04</v>
      </c>
      <c r="D67" s="5">
        <v>0.77</v>
      </c>
      <c r="E67" s="5">
        <v>4.12</v>
      </c>
    </row>
    <row r="68" spans="2:5" x14ac:dyDescent="0.3">
      <c r="B68" s="4">
        <v>43435</v>
      </c>
      <c r="C68" s="5">
        <v>-9.0299999999999994</v>
      </c>
      <c r="D68" s="5">
        <v>-4.8499999999999996</v>
      </c>
      <c r="E68" s="5">
        <v>-2.66</v>
      </c>
    </row>
    <row r="69" spans="2:5" x14ac:dyDescent="0.3">
      <c r="B69" s="4">
        <v>43466</v>
      </c>
      <c r="C69" s="5">
        <v>7.87</v>
      </c>
      <c r="D69" s="5">
        <v>6.57</v>
      </c>
      <c r="E69" s="5">
        <v>8.76</v>
      </c>
    </row>
    <row r="70" spans="2:5" x14ac:dyDescent="0.3">
      <c r="B70" s="4">
        <v>43497</v>
      </c>
      <c r="C70" s="5">
        <v>3.21</v>
      </c>
      <c r="D70" s="5">
        <v>2.5499999999999998</v>
      </c>
      <c r="E70" s="5">
        <v>0.22</v>
      </c>
    </row>
    <row r="71" spans="2:5" x14ac:dyDescent="0.3">
      <c r="B71" s="4">
        <v>43525</v>
      </c>
      <c r="C71" s="5">
        <v>1.94</v>
      </c>
      <c r="D71" s="5">
        <v>0.63</v>
      </c>
      <c r="E71" s="5">
        <v>0.84</v>
      </c>
    </row>
    <row r="72" spans="2:5" x14ac:dyDescent="0.3">
      <c r="B72" s="4">
        <v>43556</v>
      </c>
      <c r="C72" s="5">
        <v>3.93</v>
      </c>
      <c r="D72" s="5">
        <v>2.81</v>
      </c>
      <c r="E72" s="5">
        <v>2.11</v>
      </c>
    </row>
    <row r="73" spans="2:5" x14ac:dyDescent="0.3">
      <c r="B73" s="4">
        <v>43586</v>
      </c>
      <c r="C73" s="5">
        <v>-6.35</v>
      </c>
      <c r="D73" s="5">
        <v>-4.66</v>
      </c>
      <c r="E73" s="5">
        <v>-7.26</v>
      </c>
    </row>
    <row r="74" spans="2:5" x14ac:dyDescent="0.3">
      <c r="B74" s="4">
        <v>43617</v>
      </c>
      <c r="C74" s="5">
        <v>6.89</v>
      </c>
      <c r="D74" s="5">
        <v>5.93</v>
      </c>
      <c r="E74" s="5">
        <v>6.24</v>
      </c>
    </row>
    <row r="75" spans="2:5" x14ac:dyDescent="0.3">
      <c r="B75" s="4">
        <v>43647</v>
      </c>
      <c r="C75" s="5">
        <v>1.44</v>
      </c>
      <c r="D75" s="5">
        <v>-1.27</v>
      </c>
      <c r="E75" s="5">
        <v>-1.22</v>
      </c>
    </row>
    <row r="76" spans="2:5" x14ac:dyDescent="0.3">
      <c r="B76" s="4">
        <v>43678</v>
      </c>
      <c r="C76" s="5">
        <v>-1.58</v>
      </c>
      <c r="D76" s="5">
        <v>-2.59</v>
      </c>
      <c r="E76" s="5">
        <v>-4.88</v>
      </c>
    </row>
    <row r="77" spans="2:5" x14ac:dyDescent="0.3">
      <c r="B77" s="4">
        <v>43709</v>
      </c>
      <c r="C77" s="5">
        <v>1.72</v>
      </c>
      <c r="D77" s="5">
        <v>2.87</v>
      </c>
      <c r="E77" s="5">
        <v>1.91</v>
      </c>
    </row>
    <row r="78" spans="2:5" x14ac:dyDescent="0.3">
      <c r="B78" s="4">
        <v>43739</v>
      </c>
      <c r="C78" s="5">
        <v>2.17</v>
      </c>
      <c r="D78" s="5">
        <v>3.59</v>
      </c>
      <c r="E78" s="5">
        <v>4.2300000000000004</v>
      </c>
    </row>
    <row r="79" spans="2:5" x14ac:dyDescent="0.3">
      <c r="B79" s="4">
        <v>43770</v>
      </c>
      <c r="C79" s="5">
        <v>3.63</v>
      </c>
      <c r="D79" s="5">
        <v>0.95</v>
      </c>
      <c r="E79" s="5">
        <v>-0.13</v>
      </c>
    </row>
    <row r="80" spans="2:5" x14ac:dyDescent="0.3">
      <c r="B80" s="4">
        <v>43800</v>
      </c>
      <c r="C80" s="5">
        <v>3.02</v>
      </c>
      <c r="D80" s="5">
        <v>3.25</v>
      </c>
      <c r="E80" s="5">
        <v>7.46</v>
      </c>
    </row>
    <row r="81" spans="2:5" x14ac:dyDescent="0.3">
      <c r="B81" s="4">
        <v>43831</v>
      </c>
      <c r="C81" s="5">
        <v>-0.04</v>
      </c>
      <c r="D81" s="5">
        <v>-2.09</v>
      </c>
      <c r="E81" s="5">
        <v>-4.66</v>
      </c>
    </row>
    <row r="82" spans="2:5" x14ac:dyDescent="0.3">
      <c r="B82" s="4">
        <v>43862</v>
      </c>
      <c r="C82" s="5">
        <v>-8.41</v>
      </c>
      <c r="D82" s="5">
        <v>-9.0399999999999991</v>
      </c>
      <c r="E82" s="5">
        <v>-5.27</v>
      </c>
    </row>
    <row r="83" spans="2:5" x14ac:dyDescent="0.3">
      <c r="B83" s="4">
        <v>43891</v>
      </c>
      <c r="C83" s="5">
        <v>-12.35</v>
      </c>
      <c r="D83" s="5">
        <v>-13.35</v>
      </c>
      <c r="E83" s="5">
        <v>-15.4</v>
      </c>
    </row>
    <row r="84" spans="2:5" x14ac:dyDescent="0.3">
      <c r="B84" s="4">
        <v>43922</v>
      </c>
      <c r="C84" s="5">
        <v>12.68</v>
      </c>
      <c r="D84" s="5">
        <v>6.46</v>
      </c>
      <c r="E84" s="5">
        <v>9.16</v>
      </c>
    </row>
    <row r="85" spans="2:5" x14ac:dyDescent="0.3">
      <c r="B85" s="4">
        <v>43952</v>
      </c>
      <c r="C85" s="5">
        <v>4.53</v>
      </c>
      <c r="D85" s="5">
        <v>4.3499999999999996</v>
      </c>
      <c r="E85" s="5">
        <v>0.77</v>
      </c>
    </row>
    <row r="86" spans="2:5" x14ac:dyDescent="0.3">
      <c r="B86" s="4">
        <v>43983</v>
      </c>
      <c r="C86" s="5">
        <v>1.99</v>
      </c>
      <c r="D86" s="5">
        <v>3.41</v>
      </c>
      <c r="E86" s="5">
        <v>7.35</v>
      </c>
    </row>
    <row r="87" spans="2:5" x14ac:dyDescent="0.3">
      <c r="B87" s="4">
        <v>44013</v>
      </c>
      <c r="C87" s="5">
        <v>5.64</v>
      </c>
      <c r="D87" s="5">
        <v>2.33</v>
      </c>
      <c r="E87" s="5">
        <v>8.94</v>
      </c>
    </row>
    <row r="88" spans="2:5" x14ac:dyDescent="0.3">
      <c r="B88" s="4">
        <v>44044</v>
      </c>
      <c r="C88" s="5">
        <v>7.19</v>
      </c>
      <c r="D88" s="5">
        <v>4.7</v>
      </c>
      <c r="E88" s="5">
        <v>2.21</v>
      </c>
    </row>
    <row r="89" spans="2:5" x14ac:dyDescent="0.3">
      <c r="B89" s="4">
        <v>44075</v>
      </c>
      <c r="C89" s="5">
        <v>-3.8</v>
      </c>
      <c r="D89" s="5">
        <v>-2.6</v>
      </c>
      <c r="E89" s="5">
        <v>-1.6</v>
      </c>
    </row>
    <row r="90" spans="2:5" x14ac:dyDescent="0.3">
      <c r="B90" s="4">
        <v>44105</v>
      </c>
      <c r="C90" s="5">
        <v>-2.66</v>
      </c>
      <c r="D90" s="5">
        <v>-4</v>
      </c>
      <c r="E90" s="5">
        <v>2.08</v>
      </c>
    </row>
    <row r="91" spans="2:5" x14ac:dyDescent="0.3">
      <c r="B91" s="4">
        <v>44136</v>
      </c>
      <c r="C91" s="5">
        <v>10.95</v>
      </c>
      <c r="D91" s="5">
        <v>15.5</v>
      </c>
      <c r="E91" s="5">
        <v>9.25</v>
      </c>
    </row>
    <row r="92" spans="2:5" x14ac:dyDescent="0.3">
      <c r="B92" s="4">
        <v>44166</v>
      </c>
      <c r="C92" s="5">
        <v>3.84</v>
      </c>
      <c r="D92" s="5">
        <v>4.6500000000000004</v>
      </c>
      <c r="E92" s="5">
        <v>7.35</v>
      </c>
    </row>
    <row r="93" spans="2:5" x14ac:dyDescent="0.3">
      <c r="B93" s="4">
        <v>44197</v>
      </c>
      <c r="C93" s="5">
        <v>-1.01</v>
      </c>
      <c r="D93" s="5">
        <v>-1.07</v>
      </c>
      <c r="E93" s="5">
        <v>3.07</v>
      </c>
    </row>
    <row r="94" spans="2:5" x14ac:dyDescent="0.3">
      <c r="B94" s="4">
        <v>44228</v>
      </c>
      <c r="C94" s="5">
        <v>2.76</v>
      </c>
      <c r="D94" s="5">
        <v>2.2400000000000002</v>
      </c>
      <c r="E94" s="5">
        <v>0.76</v>
      </c>
    </row>
    <row r="95" spans="2:5" x14ac:dyDescent="0.3">
      <c r="B95" s="4">
        <v>44256</v>
      </c>
      <c r="C95" s="5">
        <v>4.24</v>
      </c>
      <c r="D95" s="5">
        <v>2.2999999999999998</v>
      </c>
      <c r="E95" s="5">
        <v>-1.51</v>
      </c>
    </row>
    <row r="96" spans="2:5" x14ac:dyDescent="0.3">
      <c r="B96" s="4">
        <v>44287</v>
      </c>
      <c r="C96" s="5">
        <v>5.34</v>
      </c>
      <c r="D96" s="5">
        <v>3</v>
      </c>
      <c r="E96" s="5">
        <v>2.4900000000000002</v>
      </c>
    </row>
    <row r="97" spans="2:5" x14ac:dyDescent="0.3">
      <c r="B97" s="4">
        <v>44317</v>
      </c>
      <c r="C97" s="5">
        <v>0.7</v>
      </c>
      <c r="D97" s="5">
        <v>3.26</v>
      </c>
      <c r="E97" s="5">
        <v>2.34</v>
      </c>
    </row>
    <row r="98" spans="2:5" x14ac:dyDescent="0.3">
      <c r="B98" s="4">
        <v>44348</v>
      </c>
      <c r="C98" s="5">
        <v>2.2200000000000002</v>
      </c>
      <c r="D98" s="5">
        <v>-1.1299999999999999</v>
      </c>
      <c r="E98" s="5">
        <v>0.17</v>
      </c>
    </row>
    <row r="99" spans="2:5" x14ac:dyDescent="0.3">
      <c r="B99" s="4">
        <v>44378</v>
      </c>
      <c r="C99" s="5">
        <v>2.38</v>
      </c>
      <c r="D99" s="5">
        <v>0.75</v>
      </c>
      <c r="E99" s="5">
        <v>-6.73</v>
      </c>
    </row>
    <row r="100" spans="2:5" x14ac:dyDescent="0.3">
      <c r="B100" s="4">
        <v>44409</v>
      </c>
      <c r="C100" s="5">
        <v>3.04</v>
      </c>
      <c r="D100" s="5">
        <v>1.76</v>
      </c>
      <c r="E100" s="5">
        <v>2.65</v>
      </c>
    </row>
    <row r="101" spans="2:5" x14ac:dyDescent="0.3">
      <c r="B101" s="4">
        <v>44440</v>
      </c>
      <c r="C101" s="5">
        <v>-4.6500000000000004</v>
      </c>
      <c r="D101" s="5">
        <v>-2.9</v>
      </c>
      <c r="E101" s="5">
        <v>-3.97</v>
      </c>
    </row>
    <row r="102" spans="2:5" x14ac:dyDescent="0.3">
      <c r="B102" s="4">
        <v>44470</v>
      </c>
      <c r="C102" s="5">
        <v>6.91</v>
      </c>
      <c r="D102" s="5">
        <v>2.39</v>
      </c>
      <c r="E102" s="5">
        <v>0.99</v>
      </c>
    </row>
    <row r="103" spans="2:5" x14ac:dyDescent="0.3">
      <c r="B103" s="4">
        <v>44501</v>
      </c>
      <c r="C103" s="5">
        <v>-0.83</v>
      </c>
      <c r="D103" s="5">
        <v>-4.6500000000000004</v>
      </c>
      <c r="E103" s="5">
        <v>-4.08</v>
      </c>
    </row>
    <row r="104" spans="2:5" x14ac:dyDescent="0.3">
      <c r="B104" s="4">
        <v>44531</v>
      </c>
      <c r="C104" s="5">
        <v>4.3600000000000003</v>
      </c>
      <c r="D104" s="5">
        <v>5.12</v>
      </c>
      <c r="E104" s="5">
        <v>1.88</v>
      </c>
    </row>
    <row r="105" spans="2:5" x14ac:dyDescent="0.3">
      <c r="B105" s="4">
        <v>44562</v>
      </c>
      <c r="C105" s="5">
        <v>-5.26</v>
      </c>
      <c r="D105" s="5">
        <v>-4.83</v>
      </c>
      <c r="E105" s="5">
        <v>-1.89</v>
      </c>
    </row>
    <row r="106" spans="2:5" x14ac:dyDescent="0.3">
      <c r="B106" s="4">
        <v>44593</v>
      </c>
      <c r="C106" s="5">
        <v>-3.14</v>
      </c>
      <c r="D106" s="5">
        <v>-2.57</v>
      </c>
      <c r="E106" s="5">
        <v>-3.06</v>
      </c>
    </row>
    <row r="107" spans="2:5" x14ac:dyDescent="0.3">
      <c r="B107" s="4">
        <v>44621</v>
      </c>
      <c r="C107" s="5">
        <v>3.71</v>
      </c>
      <c r="D107" s="5">
        <v>0.64</v>
      </c>
      <c r="E107" s="5">
        <v>-2.2599999999999998</v>
      </c>
    </row>
    <row r="108" spans="2:5" x14ac:dyDescent="0.3">
      <c r="B108" s="4">
        <v>44652</v>
      </c>
      <c r="C108" s="5">
        <v>-8.7200000000000006</v>
      </c>
      <c r="D108" s="5">
        <v>-6.47</v>
      </c>
      <c r="E108" s="5">
        <v>-5.56</v>
      </c>
    </row>
    <row r="109" spans="2:5" x14ac:dyDescent="0.3">
      <c r="B109" s="4">
        <v>44682</v>
      </c>
      <c r="C109" s="5">
        <v>0.18</v>
      </c>
      <c r="D109" s="5">
        <v>0.75</v>
      </c>
      <c r="E109" s="5">
        <v>0.44</v>
      </c>
    </row>
    <row r="110" spans="2:5" x14ac:dyDescent="0.3">
      <c r="B110" s="4">
        <v>44713</v>
      </c>
      <c r="C110" s="5">
        <v>-8.25</v>
      </c>
      <c r="D110" s="5">
        <v>-9.2799999999999994</v>
      </c>
      <c r="E110" s="5">
        <v>-6.65</v>
      </c>
    </row>
    <row r="111" spans="2:5" x14ac:dyDescent="0.3">
      <c r="B111" s="4">
        <v>44743</v>
      </c>
      <c r="C111" s="5">
        <v>9.2200000000000006</v>
      </c>
      <c r="D111" s="5">
        <v>4.9800000000000004</v>
      </c>
      <c r="E111" s="5">
        <v>-0.16</v>
      </c>
    </row>
    <row r="112" spans="2:5" x14ac:dyDescent="0.3">
      <c r="B112" s="4">
        <v>44774</v>
      </c>
      <c r="C112" s="5">
        <v>-4.08</v>
      </c>
      <c r="D112" s="5">
        <v>-4.75</v>
      </c>
      <c r="E112" s="5">
        <v>0.42</v>
      </c>
    </row>
    <row r="113" spans="2:5" x14ac:dyDescent="0.3">
      <c r="B113" s="4">
        <v>44805</v>
      </c>
      <c r="C113" s="5">
        <v>-9.2100000000000009</v>
      </c>
      <c r="D113" s="5">
        <v>-9.35</v>
      </c>
      <c r="E113" s="5">
        <v>-11.72</v>
      </c>
    </row>
    <row r="114" spans="2:5" x14ac:dyDescent="0.3">
      <c r="B114" s="4">
        <v>44835</v>
      </c>
      <c r="C114" s="5">
        <v>8.1</v>
      </c>
      <c r="D114" s="5">
        <v>5.38</v>
      </c>
      <c r="E114" s="5">
        <v>-3.1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Hemmingsen</dc:creator>
  <cp:lastModifiedBy>Al Hemmingsen</cp:lastModifiedBy>
  <dcterms:created xsi:type="dcterms:W3CDTF">2022-06-29T14:34:19Z</dcterms:created>
  <dcterms:modified xsi:type="dcterms:W3CDTF">2024-11-07T14:58:37Z</dcterms:modified>
</cp:coreProperties>
</file>